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Geral" sheetId="1" state="visible" r:id="rId3"/>
    <sheet name="Atividade 1 - Detalhamento" sheetId="2" state="visible" r:id="rId4"/>
    <sheet name="Como us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<sst xmlns="http://schemas.openxmlformats.org/spreadsheetml/2006/main" count="118" uniqueCount="103">
  <si>
    <t xml:space="preserve">Cronograma Geral do Projeto</t>
  </si>
  <si>
    <t xml:space="preserve">Comunicação entre usina fotovoltaica, estação meteorológica e microrrede inteligente — GERA/IFES Campus Serra</t>
  </si>
  <si>
    <t xml:space="preserve">Nº</t>
  </si>
  <si>
    <t xml:space="preserve">Atividade</t>
  </si>
  <si>
    <t xml:space="preserve">Mês início</t>
  </si>
  <si>
    <t xml:space="preserve">Mês fim</t>
  </si>
  <si>
    <t xml:space="preserve">Data início</t>
  </si>
  <si>
    <t xml:space="preserve">Data fim</t>
  </si>
  <si>
    <t xml:space="preserve">Status</t>
  </si>
  <si>
    <t xml:space="preserve">% Concluído</t>
  </si>
  <si>
    <t xml:space="preserve">Observações</t>
  </si>
  <si>
    <t xml:space="preserve">Pesquisa bibliográfica sobre protocolos e tecnologias de integração (usina, estação, microrrede)</t>
  </si>
  <si>
    <t xml:space="preserve">2026-09-01</t>
  </si>
  <si>
    <t xml:space="preserve">2026-10-31</t>
  </si>
  <si>
    <t xml:space="preserve">Em andamento</t>
  </si>
  <si>
    <t xml:space="preserve">Atualizado em 10/09/2026: continuo adiantado na Atividade 1. Nos dias 09 e 10/09 estudei mais 4 fontes (usina industrial com PLC/SCADA, releitura da proposta do projeto focada em infraestrutura real, estudo de caso de microrrede com trigeração/H2, e survey 2024 sobre previsão/diagnóstico fotovoltaico). Principal decisão dessa etapa: não fechar a arquitetura de comunicação antes de mapear os equipamentos reais do Campus Serra (inversores PHB, MAWS55, Espaço Energia) — isso antecipa o espírito da Atividade 2. Detalhes no relatório de 09-10/09. Faltam: revisão com orientador (sem 7) e consolidação final (sem 8) da Atividade 1. (11/09: incorporada também a camada econômica/regulatória via Fonte 9 — LCOE, ANEEL, bandeiras tarifárias, gestão da demanda.) (11/09: fechei o ciclo de leitura das fontes planejadas e consolidei tudo em um dicionário técnico por área — energia FV, microrrede, estação meteorológica, hardware, protocolos, software/padrões de projeto e economia/regulação. Falta formalizar com a revisão do orientador — sem 7 — e o fechamento oficial — sem 8.)</t>
  </si>
  <si>
    <t xml:space="preserve">Mapear e analisar os sistemas de comunicação existentes em cada unidade</t>
  </si>
  <si>
    <t xml:space="preserve">2026-11-01</t>
  </si>
  <si>
    <t xml:space="preserve">2026-11-30</t>
  </si>
  <si>
    <t xml:space="preserve">Nota (10/09): já defini a sequência de mapeamento que pretendo seguir antes de iniciar formalmente esta atividade (mês 3): mapear equipamentos → identificar interfaces/protocolos → identificar dados disponíveis → levantar limitações → definir dados essenciais → escolher comunicação → definir arquitetura do supervisor/banco → desenvolver. Ainda não iniciada oficialmente. ATUALIZAÇÃO 22/09: mapeamento real iniciado antes do previsto (mês 3), a partir de prints/dados que já consegui acessar. Usina principal (119 kW AC / 140 kWp, marca PHB): monitorada via portal PowerStation (phbsolar.com.br) — estação "Ifes Serra", 4 inversores on-grid de ~35 kW cada (2 online, 2 offline no print de 21/09), com dados de potência instantânea, geração diária/total, receita estimada, 4 canais MPPT (600-850V DC, até 22A), frequência de rede trifásica (~60Hz), diagnóstico automático ("AI Health") e histórico de alarmes real (falha de isolação no Inversor 04 em 18/08 e 09/09; quedas de rede recuperadas em 23/06 e 29/06 nos Inversores 01-03). Espaço Energia (3 kWp, inversor KSTAR 5KDM de 5kW): monitorado via portal SolarPortal+/PowerStation, com 1 datalogger (PN, firmware, sinal de comunicação) e inversor online. ACHADO IMPORTANTE: as leituras de temperatura/irradiância desse datalogger estão zeradas — a MAWS55 NÃO é injetada nesse sistema, então cruzar Espaço Energia com clima exige juntar por timestamp com o arquivo da estação, não vem pronto da plataforma. MAWS55: dados vêm em arquivo (DADOS_METEOROLOGICOS), frequência de 15 min (96 registros/dia), colunas Local/Freq/UTC/UTC-3/Temp/Pressão (+ umidade, vento, irradiância, chuva em relatórios complementares), acessados via FTP (FileZilla). MUDANÇA DE PLANO relevante: como as duas plantas já têm portal de monitoramento próprio com dado elétrico rico (MPPT, potência, alarmes), o gargalo real não é instrumentar do zero com ESP32/ACS712 — é conseguir automatizar a extração desses 3 sistemas (2 portais web + 1 FTP) e cruzá-los por timestamp. ESP32/sensores próprios ficam como complemento futuro (ex: redundância, ou pontos sem monitoramento), não como caminho principal de aquisição da usina/Espaço Energia. Também ganhei uma base de FALHAS REAIS (insulation fault, grid outage) que posso usar pra validar as regras de detecção de erro que já tinha desenhado nos Tópicos 1-4, em vez de só simular falha. ATUALIZAÇÃO 24/09: Passos 2 e 3 concluídos com dado real (não mais hipótese). Usina 119kW/PHB e Espaço Energia/KSTAR mapeados via portal SolarPortal+/PowerStation; MAWS55 via FTP. Diagnóstico: strings desconectadas no INV01 (PV-2/5/8/11), amostragem irregular do KSTAR (gap real de ~19min), INV03 com geração zero 2020-2024 (achado grande, causa a confirmar com operação da usina), INV04 com potência nominal 14kW (hipótese forte: 35+35+35+14=119kW bate com o total), bug de formatação numérica nos relatórios históricos (corrigido), cobertura meteorológica confirmada até 31/07/2026. Pendência real da atividade: Espaço Energia/KSTAR ainda sem histórico em lote integrado (só telemetria pontual).</t>
  </si>
  <si>
    <t xml:space="preserve">Levantar e definir os dados essenciais a serem trocados entre os sistemas</t>
  </si>
  <si>
    <t xml:space="preserve">2026-12-01</t>
  </si>
  <si>
    <t xml:space="preserve">2026-12-31</t>
  </si>
  <si>
    <t xml:space="preserve">ATUALIZAÇÃO 24/09: adiantei esta atividade junto com o Passo 5. O schema do leituras.db (tabelas leitura_15min, resumo_diario, historico_anual_inversores, historico_anual_usina) já define, na prática, quais dados são essenciais para a integração: potência por inversor, potência da usina, irradiância (2 sensores), temperatura, vento, precipitação, flags de disponibilidade de meteorologia/GHI. Ainda falta definir os dados da microrrede/Espaço Energia (sem histórico em lote ainda) e uma tabela de alarmes (historico_alarmes, cogitada mas não implementada).</t>
  </si>
  <si>
    <t xml:space="preserve">Projetar o protocolo/interface de comunicação e integração</t>
  </si>
  <si>
    <t xml:space="preserve">2027-01-01</t>
  </si>
  <si>
    <t xml:space="preserve">2027-02-28</t>
  </si>
  <si>
    <t xml:space="preserve">ATUALIZAÇÃO 24/09: mudança de abordagem registrada nos Passos 2-4 — em vez de um protocolo de campo ao vivo (MQTT/Modbus/ESP32 conversando direto com os inversores), a integração que funcionou de verdade foi via exportação/relatório das plataformas de fabricante (PowerStation, SolarPortal+) processada em lote pelo passo4_pipeline.py. Isso não invalida MQTT/ESP32 como protocolo futuro (principalmente pra sensores próprios e pro Espaço Energia), mas por enquanto a "interface de integração" real do projeto é a leitura desses relatórios + o schema do SQLite, não um protocolo de rede ao vivo. Vale rediscutir com o orientador se isso muda o enquadramento desta atividade.</t>
  </si>
  <si>
    <t xml:space="preserve">Desenvolver o sistema computacional web de gestão e monitoramento centralizado</t>
  </si>
  <si>
    <t xml:space="preserve">2027-03-01</t>
  </si>
  <si>
    <t xml:space="preserve">2027-04-30</t>
  </si>
  <si>
    <t xml:space="preserve">ATUALIZAÇÃO 24/09: primeira versão funcional construída no Passo 6 — dashboard.py (Streamlit) com 7 seções (Visão geral, Geração da usina, Comparação entre inversores, Histórico 2020-2026, Qualidade dos dados, Meteorologia×Geração, Alertas e diagnóstico), lendo só o leituras.db via consultas.py, com cálculo de Performance Ratio isolado e documentado (performance_ratio.py). Estrutura de repositório pronta (scripts/, requirements.txt, .gitignore, README.md) pra subir no GitHub. RESSALVA: não foi possível rodar `streamlit run` de fato (sem acesso à internet no ambiente de execução pra instalar streamlit/plotly) — toda a camada de dados foi validada isoladamente contra o banco real, e o dashboard passou por checagem de sintaxe, mas a renderização visual ainda precisa ser conferida numa máquina com esses pacotes instalados antes de considerar esta atividade mais avançada.</t>
  </si>
  <si>
    <t xml:space="preserve">Implementar o modelo computacional de simulação da rede integrada</t>
  </si>
  <si>
    <t xml:space="preserve">2027-05-01</t>
  </si>
  <si>
    <t xml:space="preserve">2027-06-30</t>
  </si>
  <si>
    <t xml:space="preserve">Não iniciado</t>
  </si>
  <si>
    <t xml:space="preserve">Nota (24/09): ainda não iniciada como simulação de rede. O que existe até aqui é análise (Performance Ratio, correlação, histórico), não simulação de cenários da microrrede integrada.</t>
  </si>
  <si>
    <t xml:space="preserve">Realizar testes de interoperabilidade e validação dos dados trocados</t>
  </si>
  <si>
    <t xml:space="preserve">2027-07-01</t>
  </si>
  <si>
    <t xml:space="preserve">2027-07-31</t>
  </si>
  <si>
    <t xml:space="preserve">ATUALIZAÇÃO 24/09: a parte de VALIDAÇÃO DE DADOS já avançou bastante nos Passos 4-5: correlação usina×soma dos inversores de 0,99999999 (22/09/2025) e 0,99999937 (22/09/2026); teste de idempotência do popula_banco.py (rodado 2x, mesma contagem de linhas); checagem de timestamps duplicados (0 encontrados). A parte de INTEROPERABILIDADE entre sistemas ao vivo (protocolo de rede real, não arquivo exportado) ainda não foi testada — depende da definição de protocolo da Atividade 4.</t>
  </si>
  <si>
    <t xml:space="preserve">Produzir documentação técnica e relatórios periódicos</t>
  </si>
  <si>
    <t xml:space="preserve">2027-08-01</t>
  </si>
  <si>
    <t xml:space="preserve">2027-08-31</t>
  </si>
  <si>
    <t xml:space="preserve">ATUALIZAÇÃO 24/09: relatórios vêm sendo produzidos continuamente desde os Tópicos 1-4 até os Passos 2 a 6 (um relatório por marco), além do dicionário técnico consolidado. Documentação técnica do código (README.md, comentários) também já existe para o pipeline/banco/dashboard do Passo 6.</t>
  </si>
  <si>
    <t xml:space="preserve">Progresso geral do projeto:</t>
  </si>
  <si>
    <t xml:space="preserve">Atividade 1 — Pesquisa Bibliográfica (Meses 1-2 | Set/2026 – Out/2026)</t>
  </si>
  <si>
    <t xml:space="preserve">Objetivo: estabelecer a base teórica sobre protocolos de comunicação e integração de usinas fotovoltaicas, estações meteorológicas e microrredes.</t>
  </si>
  <si>
    <t xml:space="preserve">Semana</t>
  </si>
  <si>
    <t xml:space="preserve">Período</t>
  </si>
  <si>
    <t xml:space="preserve">Sub-tarefa</t>
  </si>
  <si>
    <t xml:space="preserve">Entregável</t>
  </si>
  <si>
    <t xml:space="preserve">Prazo</t>
  </si>
  <si>
    <t xml:space="preserve">01/09 – 07/09</t>
  </si>
  <si>
    <t xml:space="preserve">Definir o escopo da pesquisa: protocolos (MQTT, Modbus, OPC-UA, HTTP/REST), normas de geração distribuída e requisitos de integração</t>
  </si>
  <si>
    <t xml:space="preserve">Lista de temas e palavras-chave da pesquisa</t>
  </si>
  <si>
    <t xml:space="preserve">07/09/2026</t>
  </si>
  <si>
    <t xml:space="preserve">Concluído</t>
  </si>
  <si>
    <t xml:space="preserve">Escopo definido: protocolos de comunicação, geração distribuída e requisitos de integração.</t>
  </si>
  <si>
    <t xml:space="preserve">08/09 – 14/09</t>
  </si>
  <si>
    <t xml:space="preserve">Levantar artigos/normas sobre integração de usinas fotovoltaicas com sistemas de monitoramento e SCADA</t>
  </si>
  <si>
    <t xml:space="preserve">Lista de referências (usina)</t>
  </si>
  <si>
    <t xml:space="preserve">14/09/2026</t>
  </si>
  <si>
    <t xml:space="preserve">Referências escolhidas: revisão de sistemas de monitoramento fotovoltaico de baixo custo; erros de dados em monitoramento fotovoltaico; previsão com redes neurais em sistemas fotovoltaico-térmicos.</t>
  </si>
  <si>
    <t xml:space="preserve">15/09 – 21/09</t>
  </si>
  <si>
    <t xml:space="preserve">Levantar artigos sobre estações meteorológicas automáticas e protocolos de aquisição de dados (ex.: MAWS55)</t>
  </si>
  <si>
    <t xml:space="preserve">Lista de referências (estação)</t>
  </si>
  <si>
    <t xml:space="preserve">21/09/2026</t>
  </si>
  <si>
    <t xml:space="preserve">Referência escolhida: estação meteorológica solar de baixo custo (ScienceDirect).</t>
  </si>
  <si>
    <t xml:space="preserve">22/09 – 28/09</t>
  </si>
  <si>
    <t xml:space="preserve">Levantar artigos sobre microrredes inteligentes (smart grids) e requisitos de comunicação/interoperabilidade</t>
  </si>
  <si>
    <t xml:space="preserve">Lista de referências (microrrede)</t>
  </si>
  <si>
    <t xml:space="preserve">28/09/2026</t>
  </si>
  <si>
    <t xml:space="preserve">Referências escolhidas: revisão de protocolos IoT para smart grid; integração de protocolos IoT (MQTT, OPC-UA, LoRaWAN, HTTP REST).</t>
  </si>
  <si>
    <t xml:space="preserve">29/09 – 05/10</t>
  </si>
  <si>
    <t xml:space="preserve">Organizar todas as referências em um gerenciador bibliográfico (Zotero/Mendeley) e ler os artigos mais relevantes</t>
  </si>
  <si>
    <t xml:space="preserve">Base de referências organizada</t>
  </si>
  <si>
    <t xml:space="preserve">05/10/2026</t>
  </si>
  <si>
    <t xml:space="preserve">Referências organizadas e sintetizadas (base ScienceDirect/IEEE sobre monitoramento fotovoltaico de baixo custo, estações meteorológicas e protocolos IoT/smart grid). Síntese já orientou as escolhas técnicas preliminares de hardware, software e protocolos.</t>
  </si>
  <si>
    <t xml:space="preserve">06/10 – 12/10</t>
  </si>
  <si>
    <t xml:space="preserve">Redigir a fundamentação teórica preliminar com base nas leituras (rascunho)</t>
  </si>
  <si>
    <t xml:space="preserve">Rascunho da fundamentação teórica</t>
  </si>
  <si>
    <t xml:space="preserve">12/10/2026</t>
  </si>
  <si>
    <t xml:space="preserve">Rascunho elaborado cobrindo 4 frentes: (1) arquitetura de hardware/sensoriamento (ESP32+RaspberryPi, ACS712, Pt100/Pt1000+DS18B20, IMT Si-Sensor+célula calibrada); (2) stack de software open-source (Python: NumPy/Pandas/SciPy/Matplotlib, Scikit-learn/Statsmodels/PyTorch-TensorFlow, Streamlit, SQLite); (3) comunicação híbrida (MQTT/Mosquitto + Wi-Fi/Zigbee/LoRa); (4) padrões de projeto GoF (Factory, Command, Strategy, Repository, Observer) e tratamento de erros/falhas. Atualização 08/09: aprofundei o rascunho com mais 4 frentes sobre qualidade e confiabilidade dos dados — validação/detecção de erros no ESP32, reconexão MQTT + watchdog + timestamps + sincronização, tratamento e imputação de dados (interpolação/spline via SciPy), e impacto disso na previsão de geração (ARIMA vs LSTM). Fluxo consolidado: aquisição → validação → comunicação → sincronização → tratamento → imputação → análise → previsão. Atualização 09-10/09: estudei mais 4 fontes (Fonte 1 - releitura da proposta "Ações de Eficiência" focada em infraestrutura real do IFES Serra; Fonte 3 - trigeração FV+H2 na Univ. de Hitit; Fonte 4 - usina de 960 kWp com PLC/SCADA Modbus-Profibus; Fonte 6 - survey de Hameiri 2024 em Progress in Photovoltaics). Mudança de postura importante: decidi NÃO fechar a arquitetura de comunicação (ESP32/MQTT/Modbus/Zigbee/LoRa) antes de mapear os equipamentos reais do Campus Serra (inversores PHB, MAWS55, Espaço Energia) — primeiro descobrir o que já existe e quais protocolos/dados estão disponíveis, só depois decidir a integração. Mantive como candidatos fortes: MQTT como camada de integração, Performance Ratio/LCOE/Payback como métricas de avaliação, ARIMA vs LSTM para previsão (reforçado pelo survey da Fonte 6), uso cruzado de dados MAWS55 + geração para explicar quedas de desempenho (sujidade, temperatura). Deixei de fora por enquanto: trigeração, produção de hidrogênio, PV canopy (Fonte 3); Vision Transformer com imagens do céu e diagnóstico por curva I-V (Fonte 6) — fica como possibilidade futura, não requisito. Atualização 11/09: Fonte 9 (contexto brasileiro de GD/FV) trouxe a camada econômica/regulatória/social — barreiras à adoção solar no Brasil, LCOE do IFES (~US$0,07/kWh) vs concessionária (~US$0,14/kWh), regulação ANEEL (482/2012, 687/2015, a verificar vigência atual), bandeiras tarifárias, gestão da demanda e caráter educacional do projeto. Reforçou que o objetivo final não é só coletar/transmitir dado, e sim virar informação útil pra gestão e decisão (dashboards compreensíveis). Não incorporado: proposta de norma nacional tipo ISO 50001, AHP (sem necessidade definida ainda), economia de 50% do artigo (não é o número real do IFES).</t>
  </si>
  <si>
    <t xml:space="preserve">13/10 – 19/10</t>
  </si>
  <si>
    <t xml:space="preserve">Revisar o rascunho com o orientador e ajustar pontos apontados</t>
  </si>
  <si>
    <t xml:space="preserve">Fundamentação teórica revisada</t>
  </si>
  <si>
    <t xml:space="preserve">19/10/2026</t>
  </si>
  <si>
    <t xml:space="preserve">20/10 – 31/10</t>
  </si>
  <si>
    <t xml:space="preserve">Consolidar a versão final da revisão bibliográfica e preparar transição para a Atividade 2 (mapeamento dos sistemas)</t>
  </si>
  <si>
    <t xml:space="preserve">Documento final da Atividade 1</t>
  </si>
  <si>
    <t xml:space="preserve">31/10/2026</t>
  </si>
  <si>
    <t xml:space="preserve">Já produzi um material de consolidação adiantado: dicionário técnico reunindo todos os termos dos relatórios de estudo (energia FV, microrrede, estação meteorológica, hardware, protocolos, software/padrões de projeto, dados/ML e economia/regulação), organizado por área e com a relação de cada termo com o projeto. Isso cobre boa parte do "documento final da Atividade 1", mas o status segue Em andamento porque a consolidação formal depende da revisão com o orientador (semana 7), que ainda não aconteceu. ATUALIZAÇÃO 24/09: o projeto avançou bem além da revisão bibliográfica nesse meio tempo — Passos 2 a 6 já concluídos (mapeamento real de equipamentos, diagnóstico de dados, pipeline de integração, banco SQLite e primeira versão do dashboard). Mantenho esta semana como "Em andamento" porque a revisão formal com o orientador (semana 7) ainda não aconteceu — vale usá-la já para alinhar também esse salto pra implementação, não só para fechar a bibliografia.</t>
  </si>
  <si>
    <t xml:space="preserve">Progresso da Atividade 1:</t>
  </si>
  <si>
    <t xml:space="preserve">Como usar esta planilha</t>
  </si>
  <si>
    <t xml:space="preserve">Cronograma Geral</t>
  </si>
  <si>
    <t xml:space="preserve">Visão macro das 8 atividades do seu Plano de Trabalho, com os meses previstos no cronograma oficial do SigFapes. Atualize a coluna 'Status' conforme for avançando.</t>
  </si>
  <si>
    <t xml:space="preserve">Atividade 1 - Detalhamento</t>
  </si>
  <si>
    <t xml:space="preserve">Divisão da Atividade 1 (pesquisa bibliográfica) em 8 sub-tarefas semanais, cobrindo os meses 1-2 (Set-Out/2026). Use como modelo: copie a estrutura desta aba para detalhar as próximas atividades (2 a 8) conforme forem chegando.</t>
  </si>
  <si>
    <t xml:space="preserve">Coluna Status</t>
  </si>
  <si>
    <t xml:space="preserve">Selecione na lista suspensa: 'Não iniciado', 'Em andamento' ou 'Concluído'. O % de progresso é calculado automaticamente.</t>
  </si>
  <si>
    <t xml:space="preserve">Dica</t>
  </si>
  <si>
    <t xml:space="preserve">Revise a planilha semanalmente (ex.: toda segunda-feira) para atualizar o status e verificar se está dentro do prazo de cada sub-tarefa.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</si>
</sst>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4" min="3" style="1" width="11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8" min="8" style="1" width="12"/>
    <col collapsed="false" customWidth="true" hidden="false" outlineLevel="0" max="9" min="9" style="1" width="30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33.75" hidden="false" customHeight="true" outlineLevel="0" collapsed="false">
      <c r="A5" s="5" t="n">
        <v>1</v>
      </c>
      <c r="B5" s="6" t="s">
        <v>11</v>
      </c>
      <c r="C5" s="5" t="n">
        <v>1</v>
      </c>
      <c r="D5" s="5" t="n">
        <v>2</v>
      </c>
      <c r="E5" s="5" t="s">
        <v>12</v>
      </c>
      <c r="F5" s="5" t="s">
        <v>13</v>
      </c>
      <c r="G5" s="5" t="s">
        <v>14</v>
      </c>
      <c r="H5" s="7" t="n">
        <f aca="false">IF(G5="Concluído",1,IF(G5="Em andamento",0.5,0))</f>
        <v>0.5</v>
      </c>
      <c r="I5" s="6" t="s">
        <v>15</v>
      </c>
    </row>
    <row r="6" customFormat="false" ht="33.75" hidden="false" customHeight="true" outlineLevel="0" collapsed="false">
      <c r="A6" s="5" t="n">
        <v>2</v>
      </c>
      <c r="B6" s="6" t="s">
        <v>16</v>
      </c>
      <c r="C6" s="5" t="n">
        <v>3</v>
      </c>
      <c r="D6" s="5" t="n">
        <v>3</v>
      </c>
      <c r="E6" s="5" t="s">
        <v>17</v>
      </c>
      <c r="F6" s="5" t="s">
        <v>18</v>
      </c>
      <c r="G6" s="5" t="s">
        <v>14</v>
      </c>
      <c r="H6" s="7" t="n">
        <f aca="false">IF(G6="Concluído",1,IF(G6="Em andamento",0.5,0))</f>
        <v>0.5</v>
      </c>
      <c r="I6" s="6" t="s">
        <v>19</v>
      </c>
    </row>
    <row r="7" customFormat="false" ht="33.75" hidden="false" customHeight="true" outlineLevel="0" collapsed="false">
      <c r="A7" s="5" t="n">
        <v>3</v>
      </c>
      <c r="B7" s="6" t="s">
        <v>20</v>
      </c>
      <c r="C7" s="5" t="n">
        <v>4</v>
      </c>
      <c r="D7" s="5" t="n">
        <v>4</v>
      </c>
      <c r="E7" s="5" t="s">
        <v>21</v>
      </c>
      <c r="F7" s="5" t="s">
        <v>22</v>
      </c>
      <c r="G7" s="5" t="s">
        <v>14</v>
      </c>
      <c r="H7" s="7" t="n">
        <f aca="false">IF(G7="Concluído",1,IF(G7="Em andamento",0.5,0))</f>
        <v>0.5</v>
      </c>
      <c r="I7" s="6" t="s">
        <v>23</v>
      </c>
    </row>
    <row r="8" customFormat="false" ht="33.75" hidden="false" customHeight="true" outlineLevel="0" collapsed="false">
      <c r="A8" s="5" t="n">
        <v>4</v>
      </c>
      <c r="B8" s="6" t="s">
        <v>24</v>
      </c>
      <c r="C8" s="5" t="n">
        <v>5</v>
      </c>
      <c r="D8" s="5" t="n">
        <v>6</v>
      </c>
      <c r="E8" s="5" t="s">
        <v>25</v>
      </c>
      <c r="F8" s="5" t="s">
        <v>26</v>
      </c>
      <c r="G8" s="5" t="s">
        <v>14</v>
      </c>
      <c r="H8" s="7" t="n">
        <f aca="false">IF(G8="Concluído",1,IF(G8="Em andamento",0.5,0))</f>
        <v>0.5</v>
      </c>
      <c r="I8" s="6" t="s">
        <v>27</v>
      </c>
    </row>
    <row r="9" customFormat="false" ht="33.75" hidden="false" customHeight="true" outlineLevel="0" collapsed="false">
      <c r="A9" s="5" t="n">
        <v>5</v>
      </c>
      <c r="B9" s="6" t="s">
        <v>28</v>
      </c>
      <c r="C9" s="5" t="n">
        <v>7</v>
      </c>
      <c r="D9" s="5" t="n">
        <v>8</v>
      </c>
      <c r="E9" s="5" t="s">
        <v>29</v>
      </c>
      <c r="F9" s="5" t="s">
        <v>30</v>
      </c>
      <c r="G9" s="5" t="s">
        <v>14</v>
      </c>
      <c r="H9" s="7" t="n">
        <f aca="false">IF(G9="Concluído",1,IF(G9="Em andamento",0.5,0))</f>
        <v>0.5</v>
      </c>
      <c r="I9" s="6" t="s">
        <v>31</v>
      </c>
    </row>
    <row r="10" customFormat="false" ht="33.75" hidden="false" customHeight="true" outlineLevel="0" collapsed="false">
      <c r="A10" s="5" t="n">
        <v>6</v>
      </c>
      <c r="B10" s="6" t="s">
        <v>32</v>
      </c>
      <c r="C10" s="5" t="n">
        <v>9</v>
      </c>
      <c r="D10" s="5" t="n">
        <v>10</v>
      </c>
      <c r="E10" s="5" t="s">
        <v>33</v>
      </c>
      <c r="F10" s="5" t="s">
        <v>34</v>
      </c>
      <c r="G10" s="5" t="s">
        <v>35</v>
      </c>
      <c r="H10" s="7" t="n">
        <f aca="false">IF(G10="Concluído",1,IF(G10="Em andamento",0.5,0))</f>
        <v>0</v>
      </c>
      <c r="I10" s="6" t="s">
        <v>36</v>
      </c>
    </row>
    <row r="11" customFormat="false" ht="33.75" hidden="false" customHeight="true" outlineLevel="0" collapsed="false">
      <c r="A11" s="5" t="n">
        <v>7</v>
      </c>
      <c r="B11" s="6" t="s">
        <v>37</v>
      </c>
      <c r="C11" s="5" t="n">
        <v>11</v>
      </c>
      <c r="D11" s="5" t="n">
        <v>11</v>
      </c>
      <c r="E11" s="5" t="s">
        <v>38</v>
      </c>
      <c r="F11" s="5" t="s">
        <v>39</v>
      </c>
      <c r="G11" s="5" t="s">
        <v>14</v>
      </c>
      <c r="H11" s="7" t="n">
        <f aca="false">IF(G11="Concluído",1,IF(G11="Em andamento",0.5,0))</f>
        <v>0.5</v>
      </c>
      <c r="I11" s="6" t="s">
        <v>40</v>
      </c>
    </row>
    <row r="12" customFormat="false" ht="33.75" hidden="false" customHeight="true" outlineLevel="0" collapsed="false">
      <c r="A12" s="5" t="n">
        <v>8</v>
      </c>
      <c r="B12" s="6" t="s">
        <v>41</v>
      </c>
      <c r="C12" s="5" t="n">
        <v>12</v>
      </c>
      <c r="D12" s="5" t="n">
        <v>12</v>
      </c>
      <c r="E12" s="5" t="s">
        <v>42</v>
      </c>
      <c r="F12" s="5" t="s">
        <v>43</v>
      </c>
      <c r="G12" s="5" t="s">
        <v>14</v>
      </c>
      <c r="H12" s="7" t="n">
        <f aca="false">IF(G12="Concluído",1,IF(G12="Em andamento",0.5,0))</f>
        <v>0.5</v>
      </c>
      <c r="I12" s="6" t="s">
        <v>44</v>
      </c>
    </row>
    <row r="14" customFormat="false" ht="15" hidden="false" customHeight="true" outlineLevel="0" collapsed="false">
      <c r="A14" s="8" t="s">
        <v>45</v>
      </c>
      <c r="B14" s="8"/>
      <c r="C14" s="8"/>
      <c r="D14" s="8"/>
      <c r="E14" s="8"/>
      <c r="F14" s="8"/>
      <c r="H14" s="9" t="n">
        <f aca="false">AVERAGE(H5:H12)</f>
        <v>0.4375</v>
      </c>
    </row>
  </sheetData>
  <mergeCells count="3">
    <mergeCell ref="A1:I1"/>
    <mergeCell ref="A2:I2"/>
    <mergeCell ref="A14:F14"/>
  </mergeCells>
  <dataValidations count="1">
    <dataValidation allowBlank="true" errorStyle="stop" operator="between" showDropDown="false" showErrorMessage="false" showInputMessage="false" sqref="G5:G12" type="list">
      <formula1>"Não iniciado,Em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6" min="6" style="1" width="15"/>
    <col collapsed="false" customWidth="true" hidden="false" outlineLevel="0" max="7" min="7" style="1" width="26"/>
  </cols>
  <sheetData>
    <row r="1" customFormat="false" ht="21.75" hidden="false" customHeight="true" outlineLevel="0" collapsed="false">
      <c r="A1" s="2" t="s">
        <v>46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47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8</v>
      </c>
      <c r="G4" s="4" t="s">
        <v>10</v>
      </c>
    </row>
    <row r="5" customFormat="false" ht="45.75" hidden="false" customHeight="true" outlineLevel="0" collapsed="false">
      <c r="A5" s="5" t="n">
        <v>1</v>
      </c>
      <c r="B5" s="5" t="s">
        <v>53</v>
      </c>
      <c r="C5" s="6" t="s">
        <v>54</v>
      </c>
      <c r="D5" s="6" t="s">
        <v>55</v>
      </c>
      <c r="E5" s="5" t="s">
        <v>56</v>
      </c>
      <c r="F5" s="5" t="s">
        <v>57</v>
      </c>
      <c r="G5" s="6" t="s">
        <v>58</v>
      </c>
    </row>
    <row r="6" customFormat="false" ht="45.75" hidden="false" customHeight="true" outlineLevel="0" collapsed="false">
      <c r="A6" s="5" t="n">
        <v>2</v>
      </c>
      <c r="B6" s="5" t="s">
        <v>59</v>
      </c>
      <c r="C6" s="6" t="s">
        <v>60</v>
      </c>
      <c r="D6" s="6" t="s">
        <v>61</v>
      </c>
      <c r="E6" s="5" t="s">
        <v>62</v>
      </c>
      <c r="F6" s="5" t="s">
        <v>57</v>
      </c>
      <c r="G6" s="6" t="s">
        <v>63</v>
      </c>
    </row>
    <row r="7" customFormat="false" ht="45.75" hidden="false" customHeight="true" outlineLevel="0" collapsed="false">
      <c r="A7" s="5" t="n">
        <v>3</v>
      </c>
      <c r="B7" s="5" t="s">
        <v>64</v>
      </c>
      <c r="C7" s="6" t="s">
        <v>65</v>
      </c>
      <c r="D7" s="6" t="s">
        <v>66</v>
      </c>
      <c r="E7" s="5" t="s">
        <v>67</v>
      </c>
      <c r="F7" s="5" t="s">
        <v>57</v>
      </c>
      <c r="G7" s="6" t="s">
        <v>68</v>
      </c>
    </row>
    <row r="8" customFormat="false" ht="45.75" hidden="false" customHeight="true" outlineLevel="0" collapsed="false">
      <c r="A8" s="5" t="n">
        <v>4</v>
      </c>
      <c r="B8" s="5" t="s">
        <v>69</v>
      </c>
      <c r="C8" s="6" t="s">
        <v>70</v>
      </c>
      <c r="D8" s="6" t="s">
        <v>71</v>
      </c>
      <c r="E8" s="5" t="s">
        <v>72</v>
      </c>
      <c r="F8" s="5" t="s">
        <v>57</v>
      </c>
      <c r="G8" s="6" t="s">
        <v>73</v>
      </c>
    </row>
    <row r="9" customFormat="false" ht="45.75" hidden="false" customHeight="true" outlineLevel="0" collapsed="false">
      <c r="A9" s="5" t="n">
        <v>5</v>
      </c>
      <c r="B9" s="5" t="s">
        <v>74</v>
      </c>
      <c r="C9" s="6" t="s">
        <v>75</v>
      </c>
      <c r="D9" s="6" t="s">
        <v>76</v>
      </c>
      <c r="E9" s="5" t="s">
        <v>77</v>
      </c>
      <c r="F9" s="5" t="s">
        <v>57</v>
      </c>
      <c r="G9" s="6" t="s">
        <v>78</v>
      </c>
    </row>
    <row r="10" customFormat="false" ht="45.75" hidden="false" customHeight="true" outlineLevel="0" collapsed="false">
      <c r="A10" s="5" t="n">
        <v>6</v>
      </c>
      <c r="B10" s="5" t="s">
        <v>79</v>
      </c>
      <c r="C10" s="6" t="s">
        <v>80</v>
      </c>
      <c r="D10" s="6" t="s">
        <v>81</v>
      </c>
      <c r="E10" s="5" t="s">
        <v>82</v>
      </c>
      <c r="F10" s="5" t="s">
        <v>57</v>
      </c>
      <c r="G10" s="6" t="s">
        <v>83</v>
      </c>
    </row>
    <row r="11" customFormat="false" ht="45.75" hidden="false" customHeight="true" outlineLevel="0" collapsed="false">
      <c r="A11" s="5" t="n">
        <v>7</v>
      </c>
      <c r="B11" s="5" t="s">
        <v>84</v>
      </c>
      <c r="C11" s="6" t="s">
        <v>85</v>
      </c>
      <c r="D11" s="6" t="s">
        <v>86</v>
      </c>
      <c r="E11" s="5" t="s">
        <v>87</v>
      </c>
      <c r="F11" s="5" t="s">
        <v>35</v>
      </c>
      <c r="G11" s="6"/>
    </row>
    <row r="12" customFormat="false" ht="45.75" hidden="false" customHeight="true" outlineLevel="0" collapsed="false">
      <c r="A12" s="5" t="n">
        <v>8</v>
      </c>
      <c r="B12" s="5" t="s">
        <v>88</v>
      </c>
      <c r="C12" s="6" t="s">
        <v>89</v>
      </c>
      <c r="D12" s="6" t="s">
        <v>90</v>
      </c>
      <c r="E12" s="5" t="s">
        <v>91</v>
      </c>
      <c r="F12" s="5" t="s">
        <v>14</v>
      </c>
      <c r="G12" s="6" t="s">
        <v>92</v>
      </c>
    </row>
    <row r="14" customFormat="false" ht="15" hidden="false" customHeight="true" outlineLevel="0" collapsed="false">
      <c r="A14" s="8" t="s">
        <v>93</v>
      </c>
      <c r="B14" s="8"/>
      <c r="C14" s="8"/>
      <c r="D14" s="8"/>
      <c r="F14" s="9" t="n">
        <f aca="false">COUNTIF(F5:F12,"Concluído")/COUNTA(F5:F12)</f>
        <v>0.75</v>
      </c>
    </row>
  </sheetData>
  <mergeCells count="3">
    <mergeCell ref="A1:G1"/>
    <mergeCell ref="A2:G2"/>
    <mergeCell ref="A14:D14"/>
  </mergeCells>
  <dataValidations count="1">
    <dataValidation allowBlank="true" errorStyle="stop" operator="between" showDropDown="false" showErrorMessage="false" showInputMessage="false" sqref="F5:F12" type="list">
      <formula1>"Não iniciado,Em andamento,Concluído"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80"/>
  </cols>
  <sheetData>
    <row r="1" customFormat="false" ht="17.25" hidden="false" customHeight="true" outlineLevel="0" collapsed="false">
      <c r="A1" s="2" t="s">
        <v>94</v>
      </c>
      <c r="B1" s="2"/>
    </row>
    <row r="3" customFormat="false" ht="49.5" hidden="false" customHeight="true" outlineLevel="0" collapsed="false">
      <c r="A3" s="10" t="s">
        <v>95</v>
      </c>
      <c r="B3" s="11" t="s">
        <v>96</v>
      </c>
    </row>
    <row r="4" customFormat="false" ht="49.5" hidden="false" customHeight="true" outlineLevel="0" collapsed="false">
      <c r="A4" s="10" t="s">
        <v>97</v>
      </c>
      <c r="B4" s="11" t="s">
        <v>98</v>
      </c>
    </row>
    <row r="5" customFormat="false" ht="49.5" hidden="false" customHeight="true" outlineLevel="0" collapsed="false">
      <c r="A5" s="10" t="s">
        <v>99</v>
      </c>
      <c r="B5" s="11" t="s">
        <v>100</v>
      </c>
    </row>
    <row r="6" customFormat="false" ht="49.5" hidden="false" customHeight="true" outlineLevel="0" collapsed="false">
      <c r="A6" s="10" t="s">
        <v>101</v>
      </c>
      <c r="B6" s="11" t="s">
        <v>102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2026-09-02T14:07:48Z</dcterms:created>
  <dc:creator>openpyxl</dc:creator>
  <dc:description/>
  <dc:language>en-US</dc:language>
  <cp:lastModifiedBy/>
  <dcterms:modified xsi:type="dcterms:W3CDTF">2026-09-25T22:44:51Z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